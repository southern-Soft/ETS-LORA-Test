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8800" windowHeight="12180" tabRatio="500"/>
  </bookViews>
  <sheets>
    <sheet name="Defect Analysis" sheetId="1" r:id="rId1"/>
    <sheet name="Action Checklist" sheetId="2" r:id="rId2"/>
    <sheet name="Scope Comparison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2" l="1"/>
  <c r="E18" i="2"/>
</calcChain>
</file>

<file path=xl/sharedStrings.xml><?xml version="1.0" encoding="utf-8"?>
<sst xmlns="http://schemas.openxmlformats.org/spreadsheetml/2006/main" count="198" uniqueCount="137">
  <si>
    <t>RS485 + ESP32-S3 — Scope-Adjusted Defect Analysis (P2P · Short Cable · 5 V)</t>
  </si>
  <si>
    <t>Derived from engineering review — P2P deployment, &lt; 10 m cable, clean 5 V supply</t>
  </si>
  <si>
    <t>ID</t>
  </si>
  <si>
    <t>Defect / Issue</t>
  </si>
  <si>
    <t>Root Cause</t>
  </si>
  <si>
    <t>Recommended Fix</t>
  </si>
  <si>
    <t>Effort</t>
  </si>
  <si>
    <t>Severity</t>
  </si>
  <si>
    <t>D1</t>
  </si>
  <si>
    <t>UART0 shared with RS485 &amp; RS232</t>
  </si>
  <si>
    <t>ESP32-S3 ROM bootloader blasts 115200 8N1 data on GPIO43/44 (UART0) at every reset. U9 (TP8485E) and U10 (MAX3232) both drive the same RX line → guaranteed bus contention.</t>
  </si>
  <si>
    <t>Move RS485 to UART1 (e.g., GPIO17/18 or GPIO38/39). Keep UART0 strictly for logging. RS232 stays as DNF alternative.</t>
  </si>
  <si>
    <t>Schematic rework</t>
  </si>
  <si>
    <t>🔴 MUST FIX</t>
  </si>
  <si>
    <t>D2</t>
  </si>
  <si>
    <t>RT6160 VSEL strap may be wrong</t>
  </si>
  <si>
    <t>If VSEL strap is mis-wired the regulator comes up at wrong voltage — RAK3112 either won't boot or runs out-of-spec. Firmware I²C write can also corrupt the setting at runtime.</t>
  </si>
  <si>
    <t>Verify strap in schematic sets 3.3 V by default. Confirm on first power-up before populating module. Lock (or remove) the I²C VSEL write in firmware.</t>
  </si>
  <si>
    <t>Verification</t>
  </si>
  <si>
    <t>D3</t>
  </si>
  <si>
    <t>Fail-safe biasing too weak (R38/R39 = 2.2 kΩ)</t>
  </si>
  <si>
    <t>Idle differential ≈ 44 mV — below ±200 mV receiver threshold. Receiver output floats → random RX bytes during idle → Modbus parser sees constant malformed frames even on 1 m cable.</t>
  </si>
  <si>
    <t>Option A (best): replace TP8485E with THVD1450 (true fail-safe, ~$0.50) — drop R38/R39 entirely.
Option B (cheap): change R38/R39 to 560 Ω.</t>
  </si>
  <si>
    <t>1-part swap</t>
  </si>
  <si>
    <t>D4</t>
  </si>
  <si>
    <t>Auto-DE transistor circuit (Q6 + R37) too slow</t>
  </si>
  <si>
    <t>NPN turn-OFF is slow. At 115200 bps last bit of last byte gets clipped. At 9600 bps marginal. Creates non-deterministic turnaround timing.</t>
  </si>
  <si>
    <t>Remove Q6/R37. Drive DE+RE directly from GPIO21. Use ESP-IDF UART_MODE_RS485_HALF_DUPLEX for hardware-timed direction control. Fewer parts, zero timing ambiguity.</t>
  </si>
  <si>
    <t>Schematic simplification</t>
  </si>
  <si>
    <t>S1</t>
  </si>
  <si>
    <t>120 Ω termination not selectable</t>
  </si>
  <si>
    <t>Unterminated bus shows ringing even at 9600 bps on short cables. At 115200 bps over 5 m → bit errors. Fixed termination can't be disabled for bench testing.</t>
  </si>
  <si>
    <t>Add 120 Ω + 0 Ω jumper (or 2-pin header) across A/B at each board. Populate at one node; leave open at the other.</t>
  </si>
  <si>
    <t>1 R + 1 jumper</t>
  </si>
  <si>
    <t>🟠 SHOULD FIX</t>
  </si>
  <si>
    <t>S2</t>
  </si>
  <si>
    <t>No bus-side TVS diode</t>
  </si>
  <si>
    <t>Finger-ESD strike on connector pins can kill transceiver even without long cables or surge environment.</t>
  </si>
  <si>
    <t>Add SM712 (Semtech, ~$0.30) across A/B at connector entry. One part, no downside.</t>
  </si>
  <si>
    <t>1 part</t>
  </si>
  <si>
    <t>S3</t>
  </si>
  <si>
    <t>No reverse polarity protection on DC jack</t>
  </si>
  <si>
    <t>Mis-wired supply destroys board. Installers miswire connectors more than expected.</t>
  </si>
  <si>
    <t>Add SS54 Schottky diode in series, or P-MOSFET ideal diode to avoid Vf drop.</t>
  </si>
  <si>
    <t>S4</t>
  </si>
  <si>
    <t>RS485 series resistors (R41/R42) could be higher</t>
  </si>
  <si>
    <t>Current 10 Ω provides limited fault-current protection and ringing damping.</t>
  </si>
  <si>
    <t>Bump to 22 Ω — better fault limiting, negligible impact on signal integrity at target baudrates.</t>
  </si>
  <si>
    <t>Value change</t>
  </si>
  <si>
    <t>S5</t>
  </si>
  <si>
    <t>No series resistors on UART0 between MCU and transceivers</t>
  </si>
  <si>
    <t>If firmware misconfigures pin mux both MCU TX and transceiver can drive simultaneously — potential latch-up current.</t>
  </si>
  <si>
    <t>Add 100 Ω series resistors on TX/RX between MCU pins and U9/U10.</t>
  </si>
  <si>
    <t>2 parts</t>
  </si>
  <si>
    <t>N1</t>
  </si>
  <si>
    <t>No discrete status LEDs</t>
  </si>
  <si>
    <t>WS2812 depends on firmware running correctly — useless if boot fails. No quick visual confirmation of power or RS485 activity.</t>
  </si>
  <si>
    <t>Add: PWR LED on 3V3, TX LED (tied to DE or MCU TX), RX LED (tied to RO), USR LED on free GPIO. Total: 4 LEDs + 4 resistors.</t>
  </si>
  <si>
    <t>4 parts</t>
  </si>
  <si>
    <t>🟡 NICE-TO-HAVE</t>
  </si>
  <si>
    <t>N2</t>
  </si>
  <si>
    <t>Missing test points</t>
  </si>
  <si>
    <t>Without test points, probing signals during bring-up is difficult and risks shorts.</t>
  </si>
  <si>
    <t>Add TPs for: +5V, 3V3, GND×2, A, B, DE, UART TX, UART RX.</t>
  </si>
  <si>
    <t>PCB placement</t>
  </si>
  <si>
    <t>N3</t>
  </si>
  <si>
    <t>Per-pin VDD decoupling not explicit</t>
  </si>
  <si>
    <t>100 nF MLCC must be on each RAK3112 VDD pin (20, 21) within 2 mm. Missing in schematic.</t>
  </si>
  <si>
    <t>Add explicit 100 nF decoupling caps on each VDD pin in schematic; enforce &lt;2 mm in layout.</t>
  </si>
  <si>
    <t>Layout discipline</t>
  </si>
  <si>
    <t>N4</t>
  </si>
  <si>
    <t>Insufficient bulk capacitance on 5 V rail</t>
  </si>
  <si>
    <t>MLCCs alone don't damp LoRa TX transients (~500 mA). Voltage sag can reset MCU.</t>
  </si>
  <si>
    <t>Add 47 µF tantalum or low-ESR electrolytic on +5V near buck-boost regulator input.</t>
  </si>
  <si>
    <t>N5</t>
  </si>
  <si>
    <t>WS2812 data level marginal at 5 V supply</t>
  </si>
  <si>
    <t>WS2812 needs 0.7×VDD = 3.5 V minimum HIGH on data when powered from 5 V. MCU drives 3.3 V → marginal at temp corners.</t>
  </si>
  <si>
    <t>Use WS2812B-V5 (3.3 V tolerant) or power WS2812 from 3.3 V instead of 5 V.</t>
  </si>
  <si>
    <t>Minor change</t>
  </si>
  <si>
    <t>RS485 + ESP32-S3 — Revised Action Checklist  (Priority Order)</t>
  </si>
  <si>
    <t>Set Status via dropdown in column E. Tally at bottom auto-updates.</t>
  </si>
  <si>
    <t>#</t>
  </si>
  <si>
    <t>Ref</t>
  </si>
  <si>
    <t>Action</t>
  </si>
  <si>
    <t>Status</t>
  </si>
  <si>
    <t>Notes</t>
  </si>
  <si>
    <t>Move RS485 off UART0 → assign to UART1 (GPIO17/18 or GPIO38/39). Keep UART0 for logging only.</t>
  </si>
  <si>
    <t>⏳ Pending</t>
  </si>
  <si>
    <t>Replace TP8485E with THVD1450 true fail-safe transceiver. Remove bias resistors R38/R39.</t>
  </si>
  <si>
    <t>Remove Q6+R37 auto-DE circuit. Drive DE+RE directly from GPIO21. Enable UART_MODE_RS485_HALF_DUPLEX in firmware.</t>
  </si>
  <si>
    <t>Verify RT6160 VSEL strap = 3.3 V in schematic. Confirm on bench before populating MCU module.</t>
  </si>
  <si>
    <t>Add selectable 120 Ω termination: 120 Ω + 0 Ω jumper / 2-pin header across A/B at each board.</t>
  </si>
  <si>
    <t>Add SM712 TVS diode across A/B at RS485 connector entry for ESD protection.</t>
  </si>
  <si>
    <t>Add SS54 Schottky diode for reverse polarity protection on DC jack.</t>
  </si>
  <si>
    <t>Add 4 discrete LEDs: PWR (3V3), TX (RS485), RX (RS485), USR (free GPIO) + current-limiting resistors.</t>
  </si>
  <si>
    <t>Add test points: +5V, 3V3, GND×2, RS485-A, RS485-B, DE, UART TX, UART RX.</t>
  </si>
  <si>
    <t>Change R41/R42 series resistors from 10 Ω to 22 Ω for better damping.</t>
  </si>
  <si>
    <t>Add 100 Ω series resistors on UART TX/RX between MCU pins and transceivers.</t>
  </si>
  <si>
    <t>Add explicit 100 nF MLCC decoupling on each RAK3112 VDD pin (20, 21) in schematic. Enforce &lt; 2 mm in layout.</t>
  </si>
  <si>
    <t>Add 47 µF bulk capacitor on +5V rail near regulator input.</t>
  </si>
  <si>
    <t>Switch WS2812 to WS2812B-V5 (3.3 V tolerant) or power from 3.3 V to fix marginal data level.</t>
  </si>
  <si>
    <t>PROGRESS</t>
  </si>
  <si>
    <t>Total Actions</t>
  </si>
  <si>
    <t>Scope Comparison: Industrial Multi-Drop vs Your P2P Design</t>
  </si>
  <si>
    <t>Requirement</t>
  </si>
  <si>
    <t>Industrial Multi-Drop</t>
  </si>
  <si>
    <t>Your Scope (P2P · Short · 5V)</t>
  </si>
  <si>
    <t>Galvanic isolation</t>
  </si>
  <si>
    <t>Mandatory</t>
  </si>
  <si>
    <t>✅ Not needed — shared/clean GND</t>
  </si>
  <si>
    <t>Surge protection IEC61000</t>
  </si>
  <si>
    <t>✅ Skip — short cable, no antenna</t>
  </si>
  <si>
    <t>GDT / TBU devices</t>
  </si>
  <si>
    <t>Recommended</t>
  </si>
  <si>
    <t>✅ Skip</t>
  </si>
  <si>
    <t>Bus-side TVS diode</t>
  </si>
  <si>
    <t>⚠️ Still recommended (cheap)</t>
  </si>
  <si>
    <t>120 Ω termination</t>
  </si>
  <si>
    <t>⚠️ Recommended &gt; 115200 or &gt; 3 m</t>
  </si>
  <si>
    <t>Fail-safe biasing</t>
  </si>
  <si>
    <t>Critical</t>
  </si>
  <si>
    <t>🔴 Still critical — prevents idle garbage</t>
  </si>
  <si>
    <t>32-node loading math</t>
  </si>
  <si>
    <t>Required</t>
  </si>
  <si>
    <t>✅ Skip — only 2 nodes</t>
  </si>
  <si>
    <t>Reverse polarity on DC</t>
  </si>
  <si>
    <t>⚠️ Still recommended</t>
  </si>
  <si>
    <t>PTC fuse</t>
  </si>
  <si>
    <t>✅ Optional for prototype</t>
  </si>
  <si>
    <t>Conformal coating</t>
  </si>
  <si>
    <t>Required (outdoor/harsh)</t>
  </si>
  <si>
    <t>✅ Skip — unless outdoor</t>
  </si>
  <si>
    <t>24 V industrial input</t>
  </si>
  <si>
    <t>✅ Skip — 5 V clean supply</t>
  </si>
  <si>
    <t>Multi-drop topology math</t>
  </si>
  <si>
    <t>✅ Skip — P2P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</si>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</sst>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66573"/>
      <name val="Arial"/>
      <charset val="1"/>
    </font>
    <font>
      <b/>
      <sz val="10"/>
      <color rgb="FFFFFFFF"/>
      <name val="Arial"/>
      <charset val="1"/>
    </font>
    <font>
      <b/>
      <sz val="10"/>
      <color rgb="FF1C2833"/>
      <name val="Arial"/>
      <charset val="1"/>
    </font>
    <font>
      <sz val="9"/>
      <color rgb="FF2C3E50"/>
      <name val="Arial"/>
      <charset val="1"/>
    </font>
    <font>
      <sz val="9"/>
      <color rgb="FF1A5276"/>
      <name val="Arial"/>
      <charset val="1"/>
    </font>
    <font>
      <sz val="9"/>
      <color rgb="FF566573"/>
      <name val="Arial"/>
      <charset val="1"/>
    </font>
    <font>
      <b/>
      <sz val="9"/>
      <color rgb="FFFFFFFF"/>
      <name val="Arial"/>
      <charset val="1"/>
    </font>
    <font>
      <i/>
      <sz val="9"/>
      <color rgb="FF7F8C8D"/>
      <name val="Arial"/>
      <charset val="1"/>
    </font>
    <font>
      <b/>
      <sz val="11"/>
      <color rgb="FFFFFFFF"/>
      <name val="Arial"/>
      <charset val="1"/>
    </font>
    <font>
      <b/>
      <sz val="10"/>
      <color rgb="FFC0392B"/>
      <name val="Arial"/>
      <charset val="1"/>
    </font>
    <font>
      <sz val="10"/>
      <color rgb="FF1C2833"/>
      <name val="Arial"/>
      <charset val="1"/>
    </font>
    <font>
      <sz val="10"/>
      <color rgb="FF7F8C8D"/>
      <name val="Arial"/>
      <charset val="1"/>
    </font>
    <font>
      <i/>
      <sz val="9"/>
      <color rgb="FF95A5A6"/>
      <name val="Arial"/>
      <charset val="1"/>
    </font>
    <font>
      <b/>
      <sz val="10"/>
      <color rgb="FFE67E22"/>
      <name val="Arial"/>
      <charset val="1"/>
    </font>
    <font>
      <b/>
      <sz val="10"/>
      <color rgb="FFF39C12"/>
      <name val="Arial"/>
      <charset val="1"/>
    </font>
    <font>
      <b/>
      <sz val="9"/>
      <color rgb="FF1C2833"/>
      <name val="Arial"/>
      <charset val="1"/>
    </font>
    <font>
      <b/>
      <sz val="12"/>
      <color rgb="FFFFFFFF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C2833"/>
        <bgColor rgb="FF2C3E50"/>
      </patternFill>
    </fill>
    <fill>
      <patternFill patternType="solid">
        <fgColor rgb="FFEBF5FB"/>
        <bgColor rgb="FFF8F9FA"/>
      </patternFill>
    </fill>
    <fill>
      <patternFill patternType="solid">
        <fgColor rgb="FF2C3E50"/>
        <bgColor rgb="FF1C2833"/>
      </patternFill>
    </fill>
    <fill>
      <patternFill patternType="solid">
        <fgColor rgb="FFC0392B"/>
        <bgColor rgb="FF993366"/>
      </patternFill>
    </fill>
    <fill>
      <patternFill patternType="solid">
        <fgColor rgb="FFFDEDEC"/>
        <bgColor rgb="FFFEF0E7"/>
      </patternFill>
    </fill>
    <fill>
      <patternFill patternType="solid">
        <fgColor rgb="FFFDFEFE"/>
        <bgColor rgb="FFFFFFFF"/>
      </patternFill>
    </fill>
    <fill>
      <patternFill patternType="solid">
        <fgColor rgb="FFF8F9FA"/>
        <bgColor rgb="FFFDFEFE"/>
      </patternFill>
    </fill>
    <fill>
      <patternFill patternType="solid">
        <fgColor rgb="FFE67E22"/>
        <bgColor rgb="FFF39C12"/>
      </patternFill>
    </fill>
    <fill>
      <patternFill patternType="solid">
        <fgColor rgb="FFFEF0E7"/>
        <bgColor rgb="FFFDEDEC"/>
      </patternFill>
    </fill>
    <fill>
      <patternFill patternType="solid">
        <fgColor rgb="FFF1C40F"/>
        <bgColor rgb="FFF39C12"/>
      </patternFill>
    </fill>
    <fill>
      <patternFill patternType="solid">
        <fgColor rgb="FFFEFCE8"/>
        <bgColor rgb="FFFEF9E7"/>
      </patternFill>
    </fill>
    <fill>
      <patternFill patternType="solid">
        <fgColor rgb="FFF39C12"/>
        <bgColor rgb="FFE67E22"/>
      </patternFill>
    </fill>
    <fill>
      <patternFill patternType="solid">
        <fgColor rgb="FFD5F5E3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FEF9E7"/>
        <bgColor rgb="FFFEFCE8"/>
      </patternFill>
    </fill>
    <fill>
      <patternFill patternType="solid">
        <fgColor rgb="FFFADBD8"/>
        <bgColor rgb="FFFDEDEC"/>
      </patternFill>
    </fill>
  </fills>
  <borders count="3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2" fillId="15" borderId="1" xfId="0" applyFont="1" applyFill="1" applyBorder="1" applyAlignment="1">
      <alignment horizontal="left" vertical="center" wrapText="1"/>
    </xf>
    <xf numFmtId="0" fontId="12" fillId="16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EDEC"/>
      <rgbColor rgb="FF7F8C8D"/>
      <rgbColor rgb="FF9999FF"/>
      <rgbColor rgb="FF993366"/>
      <rgbColor rgb="FFFEFCE8"/>
      <rgbColor rgb="FFEBF5FB"/>
      <rgbColor rgb="FF660066"/>
      <rgbColor rgb="FFFF8080"/>
      <rgbColor rgb="FF0066CC"/>
      <rgbColor rgb="FFCBD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9FA"/>
      <rgbColor rgb="FFD5F5E3"/>
      <rgbColor rgb="FFFEF9E7"/>
      <rgbColor rgb="FFFEF0E7"/>
      <rgbColor rgb="FFFDFEFE"/>
      <rgbColor rgb="FFCC99FF"/>
      <rgbColor rgb="FFFADBD8"/>
      <rgbColor rgb="FF3366FF"/>
      <rgbColor rgb="FF33CCCC"/>
      <rgbColor rgb="FF99CC00"/>
      <rgbColor rgb="FFF1C40F"/>
      <rgbColor rgb="FFF39C12"/>
      <rgbColor rgb="FFE67E22"/>
      <rgbColor rgb="FF566573"/>
      <rgbColor rgb="FF95A5A6"/>
      <rgbColor rgb="FF1A5276"/>
      <rgbColor rgb="FF339966"/>
      <rgbColor rgb="FF003300"/>
      <rgbColor rgb="FF1C2833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Normal="10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B12" sqref="B12"/>
    </sheetView>
  </sheetViews>
  <sheetFormatPr defaultColWidth="8.7109375" defaultRowHeight="15" x14ac:dyDescent="0.25"/>
  <cols>
    <col min="1" max="1" width="8" customWidth="1"/>
    <col min="2" max="2" width="42.42578125" customWidth="1"/>
    <col min="3" max="3" width="66.5703125" customWidth="1"/>
    <col min="4" max="4" width="53.7109375" customWidth="1"/>
    <col min="5" max="5" width="33.85546875" customWidth="1"/>
    <col min="6" max="6" width="20" customWidth="1"/>
  </cols>
  <sheetData>
    <row r="1" spans="1:6" ht="30" customHeight="1" x14ac:dyDescent="0.25">
      <c r="A1" s="32" t="s">
        <v>0</v>
      </c>
      <c r="B1" s="32"/>
      <c r="C1" s="32"/>
      <c r="D1" s="32"/>
      <c r="E1" s="32"/>
      <c r="F1" s="32"/>
    </row>
    <row r="2" spans="1:6" ht="15.75" customHeight="1" x14ac:dyDescent="0.25">
      <c r="A2" s="33" t="s">
        <v>1</v>
      </c>
      <c r="B2" s="33"/>
      <c r="C2" s="33"/>
      <c r="D2" s="33"/>
      <c r="E2" s="33"/>
      <c r="F2" s="33"/>
    </row>
    <row r="3" spans="1:6" ht="19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51.75" customHeight="1" x14ac:dyDescent="0.25">
      <c r="A4" s="2" t="s">
        <v>8</v>
      </c>
      <c r="B4" s="3" t="s">
        <v>9</v>
      </c>
      <c r="C4" s="4" t="s">
        <v>10</v>
      </c>
      <c r="D4" s="5" t="s">
        <v>11</v>
      </c>
      <c r="E4" s="6" t="s">
        <v>12</v>
      </c>
      <c r="F4" s="7" t="s">
        <v>13</v>
      </c>
    </row>
    <row r="5" spans="1:6" ht="51.75" customHeight="1" x14ac:dyDescent="0.25">
      <c r="A5" s="2" t="s">
        <v>14</v>
      </c>
      <c r="B5" s="3" t="s">
        <v>15</v>
      </c>
      <c r="C5" s="4" t="s">
        <v>16</v>
      </c>
      <c r="D5" s="5" t="s">
        <v>17</v>
      </c>
      <c r="E5" s="6" t="s">
        <v>18</v>
      </c>
      <c r="F5" s="7" t="s">
        <v>13</v>
      </c>
    </row>
    <row r="6" spans="1:6" ht="51.75" customHeight="1" x14ac:dyDescent="0.25">
      <c r="A6" s="2" t="s">
        <v>19</v>
      </c>
      <c r="B6" s="3" t="s">
        <v>20</v>
      </c>
      <c r="C6" s="4" t="s">
        <v>21</v>
      </c>
      <c r="D6" s="5" t="s">
        <v>22</v>
      </c>
      <c r="E6" s="6" t="s">
        <v>23</v>
      </c>
      <c r="F6" s="7" t="s">
        <v>13</v>
      </c>
    </row>
    <row r="7" spans="1:6" ht="51.75" customHeight="1" x14ac:dyDescent="0.25">
      <c r="A7" s="2" t="s">
        <v>24</v>
      </c>
      <c r="B7" s="3" t="s">
        <v>25</v>
      </c>
      <c r="C7" s="4" t="s">
        <v>26</v>
      </c>
      <c r="D7" s="5" t="s">
        <v>27</v>
      </c>
      <c r="E7" s="6" t="s">
        <v>28</v>
      </c>
      <c r="F7" s="7" t="s">
        <v>13</v>
      </c>
    </row>
    <row r="8" spans="1:6" ht="51.75" customHeight="1" x14ac:dyDescent="0.25">
      <c r="A8" s="8" t="s">
        <v>29</v>
      </c>
      <c r="B8" s="9" t="s">
        <v>30</v>
      </c>
      <c r="C8" s="4" t="s">
        <v>31</v>
      </c>
      <c r="D8" s="5" t="s">
        <v>32</v>
      </c>
      <c r="E8" s="6" t="s">
        <v>33</v>
      </c>
      <c r="F8" s="10" t="s">
        <v>34</v>
      </c>
    </row>
    <row r="9" spans="1:6" ht="51.75" customHeight="1" x14ac:dyDescent="0.25">
      <c r="A9" s="8" t="s">
        <v>35</v>
      </c>
      <c r="B9" s="9" t="s">
        <v>36</v>
      </c>
      <c r="C9" s="4" t="s">
        <v>37</v>
      </c>
      <c r="D9" s="5" t="s">
        <v>38</v>
      </c>
      <c r="E9" s="6" t="s">
        <v>39</v>
      </c>
      <c r="F9" s="10" t="s">
        <v>34</v>
      </c>
    </row>
    <row r="10" spans="1:6" ht="51.75" customHeight="1" x14ac:dyDescent="0.25">
      <c r="A10" s="8" t="s">
        <v>40</v>
      </c>
      <c r="B10" s="9" t="s">
        <v>41</v>
      </c>
      <c r="C10" s="4" t="s">
        <v>42</v>
      </c>
      <c r="D10" s="5" t="s">
        <v>43</v>
      </c>
      <c r="E10" s="6" t="s">
        <v>39</v>
      </c>
      <c r="F10" s="10" t="s">
        <v>34</v>
      </c>
    </row>
    <row r="11" spans="1:6" ht="51.75" customHeight="1" x14ac:dyDescent="0.25">
      <c r="A11" s="8" t="s">
        <v>44</v>
      </c>
      <c r="B11" s="9" t="s">
        <v>45</v>
      </c>
      <c r="C11" s="4" t="s">
        <v>46</v>
      </c>
      <c r="D11" s="5" t="s">
        <v>47</v>
      </c>
      <c r="E11" s="6" t="s">
        <v>48</v>
      </c>
      <c r="F11" s="10" t="s">
        <v>34</v>
      </c>
    </row>
    <row r="12" spans="1:6" ht="51.75" customHeight="1" x14ac:dyDescent="0.25">
      <c r="A12" s="8" t="s">
        <v>49</v>
      </c>
      <c r="B12" s="9" t="s">
        <v>50</v>
      </c>
      <c r="C12" s="4" t="s">
        <v>51</v>
      </c>
      <c r="D12" s="5" t="s">
        <v>52</v>
      </c>
      <c r="E12" s="6" t="s">
        <v>53</v>
      </c>
      <c r="F12" s="10" t="s">
        <v>34</v>
      </c>
    </row>
    <row r="13" spans="1:6" ht="51.75" customHeight="1" x14ac:dyDescent="0.25">
      <c r="A13" s="11" t="s">
        <v>54</v>
      </c>
      <c r="B13" s="12" t="s">
        <v>55</v>
      </c>
      <c r="C13" s="4" t="s">
        <v>56</v>
      </c>
      <c r="D13" s="5" t="s">
        <v>57</v>
      </c>
      <c r="E13" s="6" t="s">
        <v>58</v>
      </c>
      <c r="F13" s="13" t="s">
        <v>59</v>
      </c>
    </row>
    <row r="14" spans="1:6" ht="51.75" customHeight="1" x14ac:dyDescent="0.25">
      <c r="A14" s="11" t="s">
        <v>60</v>
      </c>
      <c r="B14" s="12" t="s">
        <v>61</v>
      </c>
      <c r="C14" s="4" t="s">
        <v>62</v>
      </c>
      <c r="D14" s="5" t="s">
        <v>63</v>
      </c>
      <c r="E14" s="6" t="s">
        <v>64</v>
      </c>
      <c r="F14" s="13" t="s">
        <v>59</v>
      </c>
    </row>
    <row r="15" spans="1:6" ht="51.75" customHeight="1" x14ac:dyDescent="0.25">
      <c r="A15" s="11" t="s">
        <v>65</v>
      </c>
      <c r="B15" s="12" t="s">
        <v>66</v>
      </c>
      <c r="C15" s="4" t="s">
        <v>67</v>
      </c>
      <c r="D15" s="5" t="s">
        <v>68</v>
      </c>
      <c r="E15" s="6" t="s">
        <v>69</v>
      </c>
      <c r="F15" s="13" t="s">
        <v>59</v>
      </c>
    </row>
    <row r="16" spans="1:6" ht="51.75" customHeight="1" x14ac:dyDescent="0.25">
      <c r="A16" s="11" t="s">
        <v>70</v>
      </c>
      <c r="B16" s="12" t="s">
        <v>71</v>
      </c>
      <c r="C16" s="4" t="s">
        <v>72</v>
      </c>
      <c r="D16" s="5" t="s">
        <v>73</v>
      </c>
      <c r="E16" s="6" t="s">
        <v>39</v>
      </c>
      <c r="F16" s="13" t="s">
        <v>59</v>
      </c>
    </row>
    <row r="17" spans="1:6" ht="51.75" customHeight="1" x14ac:dyDescent="0.25">
      <c r="A17" s="11" t="s">
        <v>74</v>
      </c>
      <c r="B17" s="12" t="s">
        <v>75</v>
      </c>
      <c r="C17" s="4" t="s">
        <v>76</v>
      </c>
      <c r="D17" s="5" t="s">
        <v>77</v>
      </c>
      <c r="E17" s="6" t="s">
        <v>78</v>
      </c>
      <c r="F17" s="13" t="s">
        <v>59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Normal="100" workbookViewId="0">
      <pane xSplit="2" ySplit="3" topLeftCell="C10" activePane="bottomRight" state="frozen"/>
      <selection pane="topRight" activeCell="C1" sqref="C1"/>
      <selection pane="bottomLeft" activeCell="A4" sqref="A4"/>
      <selection pane="bottomRight" activeCell="C10" sqref="C10"/>
    </sheetView>
  </sheetViews>
  <sheetFormatPr defaultColWidth="8.7109375" defaultRowHeight="15" x14ac:dyDescent="0.25"/>
  <cols>
    <col min="1" max="2" width="6" customWidth="1"/>
    <col min="3" max="3" width="58.5703125" customWidth="1"/>
    <col min="4" max="4" width="34.7109375" customWidth="1"/>
    <col min="5" max="5" width="23.7109375" customWidth="1"/>
    <col min="6" max="6" width="30" customWidth="1"/>
  </cols>
  <sheetData>
    <row r="1" spans="1:6" ht="27.75" customHeight="1" x14ac:dyDescent="0.25">
      <c r="A1" s="32" t="s">
        <v>79</v>
      </c>
      <c r="B1" s="32"/>
      <c r="C1" s="32"/>
      <c r="D1" s="32"/>
      <c r="E1" s="32"/>
      <c r="F1" s="32"/>
    </row>
    <row r="2" spans="1:6" ht="15.75" customHeight="1" x14ac:dyDescent="0.25">
      <c r="A2" s="34" t="s">
        <v>80</v>
      </c>
      <c r="B2" s="34"/>
      <c r="C2" s="34"/>
      <c r="D2" s="34"/>
      <c r="E2" s="34"/>
      <c r="F2" s="34"/>
    </row>
    <row r="3" spans="1:6" ht="19.5" customHeight="1" x14ac:dyDescent="0.25">
      <c r="A3" s="1" t="s">
        <v>81</v>
      </c>
      <c r="B3" s="1" t="s">
        <v>82</v>
      </c>
      <c r="C3" s="1" t="s">
        <v>83</v>
      </c>
      <c r="D3" s="1" t="s">
        <v>6</v>
      </c>
      <c r="E3" s="1" t="s">
        <v>84</v>
      </c>
      <c r="F3" s="1" t="s">
        <v>85</v>
      </c>
    </row>
    <row r="4" spans="1:6" ht="43.5" customHeight="1" x14ac:dyDescent="0.25">
      <c r="A4" s="14">
        <v>1</v>
      </c>
      <c r="B4" s="15" t="s">
        <v>8</v>
      </c>
      <c r="C4" s="16" t="s">
        <v>86</v>
      </c>
      <c r="D4" s="6" t="s">
        <v>12</v>
      </c>
      <c r="E4" s="17" t="s">
        <v>87</v>
      </c>
      <c r="F4" s="18"/>
    </row>
    <row r="5" spans="1:6" ht="43.5" customHeight="1" x14ac:dyDescent="0.25">
      <c r="A5" s="14">
        <v>2</v>
      </c>
      <c r="B5" s="15" t="s">
        <v>19</v>
      </c>
      <c r="C5" s="16" t="s">
        <v>88</v>
      </c>
      <c r="D5" s="6" t="s">
        <v>23</v>
      </c>
      <c r="E5" s="17" t="s">
        <v>87</v>
      </c>
      <c r="F5" s="18"/>
    </row>
    <row r="6" spans="1:6" ht="43.5" customHeight="1" x14ac:dyDescent="0.25">
      <c r="A6" s="14">
        <v>3</v>
      </c>
      <c r="B6" s="15" t="s">
        <v>24</v>
      </c>
      <c r="C6" s="16" t="s">
        <v>89</v>
      </c>
      <c r="D6" s="6" t="s">
        <v>28</v>
      </c>
      <c r="E6" s="17" t="s">
        <v>87</v>
      </c>
      <c r="F6" s="18"/>
    </row>
    <row r="7" spans="1:6" ht="43.5" customHeight="1" x14ac:dyDescent="0.25">
      <c r="A7" s="14">
        <v>4</v>
      </c>
      <c r="B7" s="15" t="s">
        <v>14</v>
      </c>
      <c r="C7" s="16" t="s">
        <v>90</v>
      </c>
      <c r="D7" s="6" t="s">
        <v>18</v>
      </c>
      <c r="E7" s="17" t="s">
        <v>87</v>
      </c>
      <c r="F7" s="18"/>
    </row>
    <row r="8" spans="1:6" ht="43.5" customHeight="1" x14ac:dyDescent="0.25">
      <c r="A8" s="19">
        <v>5</v>
      </c>
      <c r="B8" s="20" t="s">
        <v>29</v>
      </c>
      <c r="C8" s="21" t="s">
        <v>91</v>
      </c>
      <c r="D8" s="6" t="s">
        <v>33</v>
      </c>
      <c r="E8" s="17" t="s">
        <v>87</v>
      </c>
      <c r="F8" s="18"/>
    </row>
    <row r="9" spans="1:6" ht="43.5" customHeight="1" x14ac:dyDescent="0.25">
      <c r="A9" s="19">
        <v>6</v>
      </c>
      <c r="B9" s="20" t="s">
        <v>35</v>
      </c>
      <c r="C9" s="21" t="s">
        <v>92</v>
      </c>
      <c r="D9" s="6" t="s">
        <v>39</v>
      </c>
      <c r="E9" s="17" t="s">
        <v>87</v>
      </c>
      <c r="F9" s="18"/>
    </row>
    <row r="10" spans="1:6" ht="43.5" customHeight="1" x14ac:dyDescent="0.25">
      <c r="A10" s="19">
        <v>7</v>
      </c>
      <c r="B10" s="20" t="s">
        <v>40</v>
      </c>
      <c r="C10" s="21" t="s">
        <v>93</v>
      </c>
      <c r="D10" s="6" t="s">
        <v>39</v>
      </c>
      <c r="E10" s="17" t="s">
        <v>87</v>
      </c>
      <c r="F10" s="18"/>
    </row>
    <row r="11" spans="1:6" ht="43.5" customHeight="1" x14ac:dyDescent="0.25">
      <c r="A11" s="22">
        <v>8</v>
      </c>
      <c r="B11" s="23" t="s">
        <v>54</v>
      </c>
      <c r="C11" s="24" t="s">
        <v>94</v>
      </c>
      <c r="D11" s="6" t="s">
        <v>58</v>
      </c>
      <c r="E11" s="17" t="s">
        <v>87</v>
      </c>
      <c r="F11" s="18"/>
    </row>
    <row r="12" spans="1:6" ht="43.5" customHeight="1" x14ac:dyDescent="0.25">
      <c r="A12" s="22">
        <v>9</v>
      </c>
      <c r="B12" s="23" t="s">
        <v>60</v>
      </c>
      <c r="C12" s="24" t="s">
        <v>95</v>
      </c>
      <c r="D12" s="6" t="s">
        <v>64</v>
      </c>
      <c r="E12" s="17" t="s">
        <v>87</v>
      </c>
      <c r="F12" s="18"/>
    </row>
    <row r="13" spans="1:6" ht="43.5" customHeight="1" x14ac:dyDescent="0.25">
      <c r="A13" s="19">
        <v>10</v>
      </c>
      <c r="B13" s="20" t="s">
        <v>44</v>
      </c>
      <c r="C13" s="21" t="s">
        <v>96</v>
      </c>
      <c r="D13" s="6" t="s">
        <v>48</v>
      </c>
      <c r="E13" s="17" t="s">
        <v>87</v>
      </c>
      <c r="F13" s="18"/>
    </row>
    <row r="14" spans="1:6" ht="43.5" customHeight="1" x14ac:dyDescent="0.25">
      <c r="A14" s="19">
        <v>11</v>
      </c>
      <c r="B14" s="20" t="s">
        <v>49</v>
      </c>
      <c r="C14" s="21" t="s">
        <v>97</v>
      </c>
      <c r="D14" s="6" t="s">
        <v>53</v>
      </c>
      <c r="E14" s="17" t="s">
        <v>87</v>
      </c>
      <c r="F14" s="18"/>
    </row>
    <row r="15" spans="1:6" ht="43.5" customHeight="1" x14ac:dyDescent="0.25">
      <c r="A15" s="22">
        <v>12</v>
      </c>
      <c r="B15" s="23" t="s">
        <v>65</v>
      </c>
      <c r="C15" s="24" t="s">
        <v>98</v>
      </c>
      <c r="D15" s="6" t="s">
        <v>69</v>
      </c>
      <c r="E15" s="17" t="s">
        <v>87</v>
      </c>
      <c r="F15" s="18"/>
    </row>
    <row r="16" spans="1:6" ht="43.5" customHeight="1" x14ac:dyDescent="0.25">
      <c r="A16" s="22">
        <v>13</v>
      </c>
      <c r="B16" s="23" t="s">
        <v>70</v>
      </c>
      <c r="C16" s="24" t="s">
        <v>99</v>
      </c>
      <c r="D16" s="6" t="s">
        <v>39</v>
      </c>
      <c r="E16" s="17" t="s">
        <v>87</v>
      </c>
      <c r="F16" s="18"/>
    </row>
    <row r="17" spans="1:6" ht="43.5" customHeight="1" x14ac:dyDescent="0.25">
      <c r="A17" s="22">
        <v>14</v>
      </c>
      <c r="B17" s="23" t="s">
        <v>74</v>
      </c>
      <c r="C17" s="24" t="s">
        <v>100</v>
      </c>
      <c r="D17" s="6" t="s">
        <v>78</v>
      </c>
      <c r="E17" s="17" t="s">
        <v>87</v>
      </c>
      <c r="F17" s="18"/>
    </row>
    <row r="18" spans="1:6" ht="19.5" customHeight="1" x14ac:dyDescent="0.25">
      <c r="A18" s="35" t="s">
        <v>101</v>
      </c>
      <c r="B18" s="35"/>
      <c r="C18" s="35"/>
      <c r="D18" s="25" t="s">
        <v>102</v>
      </c>
      <c r="E18" s="25">
        <f>COUNTA(C4:C17)</f>
        <v>14</v>
      </c>
      <c r="F18" s="26" t="str">
        <f>COUNTIF(E4:E17,"✓ Done")&amp;" Done / "&amp;COUNTIF(E4:E17,"🔄 In Progress")&amp;" In Progress / "&amp;COUNTIF(E4:E17,"⏳ Pending")&amp;" Pending"</f>
        <v>0 Done / 0 In Progress / 14 Pending</v>
      </c>
    </row>
  </sheetData>
  <mergeCells count="3">
    <mergeCell ref="A1:F1"/>
    <mergeCell ref="A2:F2"/>
    <mergeCell ref="A18:C18"/>
  </mergeCells>
  <dataValidations count="1">
    <dataValidation type="list" allowBlank="1" sqref="E4:E17">
      <formula1>"✓ Done,🔄 In Progress,✗ Blocked,⏳ Pending,— Skip"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Normal="100" workbookViewId="0">
      <selection activeCell="C4" sqref="C4"/>
    </sheetView>
  </sheetViews>
  <sheetFormatPr defaultColWidth="8.7109375" defaultRowHeight="15" x14ac:dyDescent="0.25"/>
  <cols>
    <col min="1" max="1" width="32" customWidth="1"/>
    <col min="2" max="2" width="28" customWidth="1"/>
    <col min="3" max="3" width="32" customWidth="1"/>
  </cols>
  <sheetData>
    <row r="1" spans="1:3" ht="25.5" customHeight="1" x14ac:dyDescent="0.25">
      <c r="A1" s="36" t="s">
        <v>103</v>
      </c>
      <c r="B1" s="36"/>
      <c r="C1" s="36"/>
    </row>
    <row r="2" spans="1:3" ht="18" customHeight="1" x14ac:dyDescent="0.25">
      <c r="A2" s="1" t="s">
        <v>104</v>
      </c>
      <c r="B2" s="1" t="s">
        <v>105</v>
      </c>
      <c r="C2" s="1" t="s">
        <v>106</v>
      </c>
    </row>
    <row r="3" spans="1:3" ht="19.5" customHeight="1" x14ac:dyDescent="0.25">
      <c r="A3" s="27" t="s">
        <v>107</v>
      </c>
      <c r="B3" s="27" t="s">
        <v>108</v>
      </c>
      <c r="C3" s="28" t="s">
        <v>109</v>
      </c>
    </row>
    <row r="4" spans="1:3" ht="19.5" customHeight="1" x14ac:dyDescent="0.25">
      <c r="A4" s="29" t="s">
        <v>110</v>
      </c>
      <c r="B4" s="29" t="s">
        <v>108</v>
      </c>
      <c r="C4" s="28" t="s">
        <v>111</v>
      </c>
    </row>
    <row r="5" spans="1:3" ht="19.5" customHeight="1" x14ac:dyDescent="0.25">
      <c r="A5" s="27" t="s">
        <v>112</v>
      </c>
      <c r="B5" s="27" t="s">
        <v>113</v>
      </c>
      <c r="C5" s="28" t="s">
        <v>114</v>
      </c>
    </row>
    <row r="6" spans="1:3" ht="19.5" customHeight="1" x14ac:dyDescent="0.25">
      <c r="A6" s="29" t="s">
        <v>115</v>
      </c>
      <c r="B6" s="29" t="s">
        <v>108</v>
      </c>
      <c r="C6" s="30" t="s">
        <v>116</v>
      </c>
    </row>
    <row r="7" spans="1:3" ht="19.5" customHeight="1" x14ac:dyDescent="0.25">
      <c r="A7" s="27" t="s">
        <v>117</v>
      </c>
      <c r="B7" s="27" t="s">
        <v>108</v>
      </c>
      <c r="C7" s="30" t="s">
        <v>118</v>
      </c>
    </row>
    <row r="8" spans="1:3" ht="19.5" customHeight="1" x14ac:dyDescent="0.25">
      <c r="A8" s="29" t="s">
        <v>119</v>
      </c>
      <c r="B8" s="29" t="s">
        <v>120</v>
      </c>
      <c r="C8" s="31" t="s">
        <v>121</v>
      </c>
    </row>
    <row r="9" spans="1:3" ht="19.5" customHeight="1" x14ac:dyDescent="0.25">
      <c r="A9" s="27" t="s">
        <v>122</v>
      </c>
      <c r="B9" s="27" t="s">
        <v>123</v>
      </c>
      <c r="C9" s="28" t="s">
        <v>124</v>
      </c>
    </row>
    <row r="10" spans="1:3" ht="19.5" customHeight="1" x14ac:dyDescent="0.25">
      <c r="A10" s="29" t="s">
        <v>125</v>
      </c>
      <c r="B10" s="29" t="s">
        <v>108</v>
      </c>
      <c r="C10" s="30" t="s">
        <v>126</v>
      </c>
    </row>
    <row r="11" spans="1:3" ht="19.5" customHeight="1" x14ac:dyDescent="0.25">
      <c r="A11" s="27" t="s">
        <v>127</v>
      </c>
      <c r="B11" s="27" t="s">
        <v>108</v>
      </c>
      <c r="C11" s="28" t="s">
        <v>128</v>
      </c>
    </row>
    <row r="12" spans="1:3" ht="19.5" customHeight="1" x14ac:dyDescent="0.25">
      <c r="A12" s="29" t="s">
        <v>129</v>
      </c>
      <c r="B12" s="29" t="s">
        <v>130</v>
      </c>
      <c r="C12" s="28" t="s">
        <v>131</v>
      </c>
    </row>
    <row r="13" spans="1:3" ht="19.5" customHeight="1" x14ac:dyDescent="0.25">
      <c r="A13" s="27" t="s">
        <v>132</v>
      </c>
      <c r="B13" s="27" t="s">
        <v>136</v>
      </c>
      <c r="C13" s="28" t="s">
        <v>133</v>
      </c>
    </row>
    <row r="14" spans="1:3" ht="19.5" customHeight="1" x14ac:dyDescent="0.25">
      <c r="A14" s="29" t="s">
        <v>134</v>
      </c>
      <c r="B14" s="29" t="s">
        <v>123</v>
      </c>
      <c r="C14" s="28" t="s">
        <v>135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 Analysis</vt:lpstr>
      <vt:lpstr>Action Checklist</vt:lpstr>
      <vt:lpstr>Scope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</cp:lastModifiedBy>
  <cp:revision>0</cp:revision>
  <dcterms:created xsi:type="dcterms:W3CDTF">2026-05-03T06:37:57Z</dcterms:created>
  <dcterms:modified xsi:type="dcterms:W3CDTF">2026-05-03T11:38:01Z</dcterms:modified>
  <dc:language>en-US</dc:language>
</cp:coreProperties>
</file>